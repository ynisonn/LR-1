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7700" tabRatio="500"/>
  </bookViews>
  <sheets>
    <sheet name="Бисекция" sheetId="1" r:id="rId1"/>
    <sheet name="Простая итерация" sheetId="2" r:id="rId2"/>
    <sheet name="Ньютон" sheetId="3" r:id="rId3"/>
    <sheet name="Секущие" sheetId="4" r:id="rId4"/>
    <sheet name="Сравнение" sheetId="5" r:id="rId5"/>
  </sheets>
  <calcPr calcId="191029" iterate="1" iterateCount="100" iterateDelta="0.00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<sst xmlns="http://schemas.openxmlformats.org/spreadsheetml/2006/main" count="102" uniqueCount="72">
  <si>
    <t>f(x) = x^3 - x - 1</t>
  </si>
  <si>
    <t>a =</t>
  </si>
  <si>
    <t>n ≥ log2((b−a)/ε) =</t>
  </si>
  <si>
    <t>b =</t>
  </si>
  <si>
    <t>Число итераций n =</t>
  </si>
  <si>
    <t>eps =</t>
  </si>
  <si>
    <t>f(a) =</t>
  </si>
  <si>
    <t>f(a)·f(b) =</t>
  </si>
  <si>
    <t>f(b) =</t>
  </si>
  <si>
    <t>Корень на [a, b]:</t>
  </si>
  <si>
    <t>Итерация</t>
  </si>
  <si>
    <t>a</t>
  </si>
  <si>
    <t>b</t>
  </si>
  <si>
    <t>c = (a+b)/2</t>
  </si>
  <si>
    <t>f(c)</t>
  </si>
  <si>
    <t>f(a)·f(c)</t>
  </si>
  <si>
    <t>b − a</t>
  </si>
  <si>
    <t>|f(c)|</t>
  </si>
  <si>
    <t>Остановка
(b−a)/2 &lt; ε</t>
  </si>
  <si>
    <t>Результат</t>
  </si>
  <si>
    <t>Корень x* ≈</t>
  </si>
  <si>
    <t>Число итераций</t>
  </si>
  <si>
    <t>Невязка |f(x*)|</t>
  </si>
  <si>
    <t>Строка остановки выделена зелёным. Критерий: (b−a)/2 &lt; ε (погрешность середины отрезка не превосходит половины его длины).</t>
  </si>
  <si>
    <t>φ(x) = (x+1)^(1/3)</t>
  </si>
  <si>
    <t>x0 =</t>
  </si>
  <si>
    <t>φ'(x0) =</t>
  </si>
  <si>
    <t>max|φ'(x)| на [1; 2] =</t>
  </si>
  <si>
    <t>(φ'(x) убывает, максимум в x = 1: q)</t>
  </si>
  <si>
    <t>q &lt; 1 ?</t>
  </si>
  <si>
    <t>n</t>
  </si>
  <si>
    <t>x_n</t>
  </si>
  <si>
    <t>x_{n+1} = φ(x_n)</t>
  </si>
  <si>
    <t>|x_{n+1} − x_n|</t>
  </si>
  <si>
    <t>f(x_{n+1})</t>
  </si>
  <si>
    <t>Остановка
|Δ| &lt; ε</t>
  </si>
  <si>
    <t>Условие сходимости: |φ'(x)| ≤ q &lt; 1 на [1; 2] и φ([1; 2]) ⊂ [1; 2]. Критерий остановки: |x_{n+1} − x_n| &lt; ε.</t>
  </si>
  <si>
    <t>f'(x) = 3x^2 - 1</t>
  </si>
  <si>
    <t>f''(x) = 6x</t>
  </si>
  <si>
    <t>f(x0)·f''(x0) =</t>
  </si>
  <si>
    <t>&gt; 0 — правило Фурье выполнено</t>
  </si>
  <si>
    <t>k</t>
  </si>
  <si>
    <t>x_k</t>
  </si>
  <si>
    <t>f(x_k)</t>
  </si>
  <si>
    <t>f'(x_k)</t>
  </si>
  <si>
    <t>x_{k+1}</t>
  </si>
  <si>
    <t>|x_{k+1} − x_k|</t>
  </si>
  <si>
    <t>f(x_{k+1})</t>
  </si>
  <si>
    <t>Строка остановки выделена зелёным. Критерий: |x_{k+1} − x_k| &lt; ε. Дальнейшие строки показывают, что значения уже не меняются (предел машинной точности).</t>
  </si>
  <si>
    <t>x1 =</t>
  </si>
  <si>
    <t>x_k − x_{k−1}</t>
  </si>
  <si>
    <t>f(x_k) − f(x_{k−1})</t>
  </si>
  <si>
    <t>Сравнение методов: f(x) = x^3 − x − 1 = 0, отрезок [1; 2], ε = 0,0001</t>
  </si>
  <si>
    <t>Точный корень (для оценки погрешности):</t>
  </si>
  <si>
    <t>Справочное значение (пластическое число), введено вручную.</t>
  </si>
  <si>
    <t>Метод</t>
  </si>
  <si>
    <t>Итерационная формула</t>
  </si>
  <si>
    <t>Начальные данные</t>
  </si>
  <si>
    <t>Корень</t>
  </si>
  <si>
    <t>Погрешность |x* − x_точн|</t>
  </si>
  <si>
    <t>Бисекция</t>
  </si>
  <si>
    <t>c = (a + b)/2</t>
  </si>
  <si>
    <t>[1; 2]</t>
  </si>
  <si>
    <t>Простая итерация</t>
  </si>
  <si>
    <t>x_{n+1} = (x_n + 1)^(1/3)</t>
  </si>
  <si>
    <t>x0 = 1,5</t>
  </si>
  <si>
    <t>Ньютон</t>
  </si>
  <si>
    <t>x_{k+1} = x_k − f(x_k)/f'(x_k)</t>
  </si>
  <si>
    <t>x0 = 2</t>
  </si>
  <si>
    <t>Секущие</t>
  </si>
  <si>
    <t>x_{k+1} = x_k − f(x_k)(x_k − x_{k−1})/(f(x_k) − f(x_{k−1}))</t>
  </si>
  <si>
    <t>x0 = 1, x1 = 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</si>
</sst>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-* #,##0_-;\-* #,##0_-;_-* &quot;-&quot;_-;_-@_-"/>
    <numFmt numFmtId="43" formatCode="_-* #,##0.00_-;\-* #,##0.00_-;_-* &quot;-&quot;??_-;_-@_-"/>
    <numFmt numFmtId="176" formatCode="_-&quot;₽&quot;* #,##0.00_-;\-&quot;₽&quot;* #,##0.00_-;_-&quot;₽&quot;* &quot;-&quot;??_-;_-@_-"/>
    <numFmt numFmtId="177" formatCode="_-* #,##0_-;\-&quot;₽&quot;* #,##0_-;_-&quot;₽&quot;* &quot;-&quot;_-;_-@_-"/>
    <numFmt numFmtId="178" formatCode="0.000000000"/>
    <numFmt numFmtId="179" formatCode="0.000000"/>
    <numFmt numFmtId="180" formatCode="0.000000E+00"/>
    <numFmt numFmtId="181" formatCode="0.0"/>
    <numFmt numFmtId="182" formatCode="0.0000"/>
    <numFmt numFmtId="183" formatCode="0.000"/>
  </numFmts>
  <fonts count="27">
    <font>
      <sz val="11"/>
      <color theme="1"/>
      <name val="Calibri"/>
      <charset val="1"/>
    </font>
    <font>
      <b/>
      <sz val="11"/>
      <name val="Arial"/>
      <charset val="1"/>
    </font>
    <font>
      <sz val="11"/>
      <name val="Arial"/>
      <charset val="1"/>
    </font>
    <font>
      <sz val="11"/>
      <color rgb="FF0000FF"/>
      <name val="Arial"/>
      <charset val="1"/>
    </font>
    <font>
      <i/>
      <sz val="10"/>
      <name val="Arial"/>
      <charset val="1"/>
    </font>
    <font>
      <sz val="11"/>
      <color rgb="FF008000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D9E1F2"/>
        <bgColor rgb="FFC6EFC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Border="0" applyAlignment="0" applyProtection="0"/>
    <xf numFmtId="176" fontId="6" fillId="0" borderId="0" applyBorder="0" applyAlignment="0" applyProtection="0"/>
    <xf numFmtId="9" fontId="6" fillId="0" borderId="0" applyBorder="0" applyAlignment="0" applyProtection="0"/>
    <xf numFmtId="41" fontId="6" fillId="0" borderId="0" applyBorder="0" applyAlignment="0" applyProtection="0"/>
    <xf numFmtId="177" fontId="6" fillId="0" borderId="0" applyBorder="0" applyAlignment="0" applyProtection="0"/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9" fillId="7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178" fontId="3" fillId="2" borderId="0" xfId="0" applyNumberFormat="1" applyFont="1" applyFill="1"/>
    <xf numFmtId="0" fontId="4" fillId="0" borderId="0" xfId="0" applyFont="1"/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Border="1"/>
    <xf numFmtId="0" fontId="2" fillId="0" borderId="1" xfId="0" applyFont="1" applyBorder="1" applyAlignment="1">
      <alignment vertical="center" wrapText="1"/>
    </xf>
    <xf numFmtId="0" fontId="2" fillId="0" borderId="1" xfId="0" applyFont="1" applyBorder="1"/>
    <xf numFmtId="1" fontId="5" fillId="0" borderId="1" xfId="0" applyNumberFormat="1" applyFont="1" applyBorder="1"/>
    <xf numFmtId="179" fontId="5" fillId="0" borderId="1" xfId="0" applyNumberFormat="1" applyFont="1" applyBorder="1"/>
    <xf numFmtId="11" fontId="5" fillId="0" borderId="1" xfId="0" applyNumberFormat="1" applyFont="1" applyBorder="1"/>
    <xf numFmtId="11" fontId="2" fillId="0" borderId="1" xfId="0" applyNumberFormat="1" applyFont="1" applyBorder="1"/>
    <xf numFmtId="0" fontId="3" fillId="2" borderId="0" xfId="0" applyFont="1" applyFill="1"/>
    <xf numFmtId="1" fontId="2" fillId="0" borderId="1" xfId="0" applyNumberFormat="1" applyFont="1" applyBorder="1"/>
    <xf numFmtId="179" fontId="2" fillId="0" borderId="1" xfId="0" applyNumberFormat="1" applyFont="1" applyBorder="1"/>
    <xf numFmtId="180" fontId="2" fillId="0" borderId="1" xfId="0" applyNumberFormat="1" applyFont="1" applyBorder="1"/>
    <xf numFmtId="0" fontId="0" fillId="0" borderId="1" xfId="0" applyBorder="1"/>
    <xf numFmtId="0" fontId="2" fillId="0" borderId="1" xfId="0" applyFont="1" applyBorder="1" applyAlignment="1">
      <alignment horizontal="center"/>
    </xf>
    <xf numFmtId="179" fontId="1" fillId="0" borderId="0" xfId="0" applyNumberFormat="1" applyFont="1"/>
    <xf numFmtId="1" fontId="1" fillId="0" borderId="0" xfId="0" applyNumberFormat="1" applyFont="1"/>
    <xf numFmtId="11" fontId="1" fillId="0" borderId="0" xfId="0" applyNumberFormat="1" applyFont="1"/>
    <xf numFmtId="181" fontId="2" fillId="0" borderId="0" xfId="0" applyNumberFormat="1" applyFont="1"/>
    <xf numFmtId="182" fontId="2" fillId="0" borderId="0" xfId="0" applyNumberFormat="1" applyFont="1"/>
    <xf numFmtId="183" fontId="2" fillId="0" borderId="0" xfId="0" applyNumberFormat="1" applyFont="1"/>
    <xf numFmtId="1" fontId="2" fillId="0" borderId="0" xfId="0" applyNumberFormat="1" applyFont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8">
    <dxf>
      <font>
        <name val="Arial"/>
        <scheme val="none"/>
        <charset val="1"/>
        <family val="0"/>
        <b val="1"/>
      </font>
      <fill>
        <patternFill patternType="solid">
          <bgColor rgb="FFC6EF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2CC"/>
      <rgbColor rgb="00CCFFFF"/>
      <rgbColor rgb="00660066"/>
      <rgbColor rgb="00FF8080"/>
      <rgbColor rgb="000066CC"/>
      <rgbColor rgb="00D9E1F2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6EFCE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99999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3"/>
  <sheetViews>
    <sheetView tabSelected="1" workbookViewId="0">
      <selection activeCell="O34" sqref="O34"/>
    </sheetView>
  </sheetViews>
  <sheetFormatPr defaultColWidth="8.67619047619048" defaultRowHeight="15"/>
  <cols>
    <col min="1" max="1" width="14" customWidth="1"/>
    <col min="2" max="3" width="13" customWidth="1"/>
    <col min="4" max="4" width="15" customWidth="1"/>
    <col min="5" max="5" width="14" customWidth="1"/>
    <col min="6" max="6" width="16" customWidth="1"/>
    <col min="7" max="7" width="13" customWidth="1"/>
    <col min="8" max="8" width="15" customWidth="1"/>
    <col min="9" max="9" width="16" customWidth="1"/>
  </cols>
  <sheetData>
    <row r="1" spans="1:9">
      <c r="A1" s="1" t="s">
        <v>0</v>
      </c>
    </row>
    <row r="2" spans="1:9">
      <c r="A2" s="2" t="s">
        <v>1</v>
      </c>
      <c r="B2" s="13">
        <v>1</v>
      </c>
      <c r="D2" s="2" t="s">
        <v>2</v>
      </c>
      <c r="F2" s="24">
        <f>LOG((B3-B2)/B4,2)</f>
        <v>13.2877123795494</v>
      </c>
    </row>
    <row r="3" spans="1:9">
      <c r="A3" s="2" t="s">
        <v>3</v>
      </c>
      <c r="B3" s="13">
        <v>2</v>
      </c>
      <c r="D3" s="2" t="s">
        <v>4</v>
      </c>
      <c r="F3" s="25">
        <f>ROUNDUP(F2,0)</f>
        <v>14</v>
      </c>
    </row>
    <row r="4" spans="1:9">
      <c r="A4" s="2" t="s">
        <v>5</v>
      </c>
      <c r="B4" s="13">
        <v>0.0001</v>
      </c>
    </row>
    <row r="5" spans="1:9">
      <c r="A5" s="2" t="s">
        <v>6</v>
      </c>
      <c r="B5" s="2">
        <f>B2^3-B2-1</f>
        <v>-1</v>
      </c>
      <c r="D5" s="2" t="s">
        <v>7</v>
      </c>
      <c r="F5" s="2">
        <f>B5*B6</f>
        <v>-5</v>
      </c>
    </row>
    <row r="6" spans="1:9">
      <c r="A6" s="2" t="s">
        <v>8</v>
      </c>
      <c r="B6" s="2">
        <f>B3^3-B3-1</f>
        <v>5</v>
      </c>
      <c r="D6" s="2" t="s">
        <v>9</v>
      </c>
      <c r="F6" s="2" t="str">
        <f>IF(F5&lt;0,"есть (знаки разные)","нет — выберите другой отрезок")</f>
        <v>есть (знаки разные)</v>
      </c>
    </row>
    <row r="8" ht="31.5" customHeight="1" spans="1:9">
      <c r="A8" s="5" t="s">
        <v>10</v>
      </c>
      <c r="B8" s="5" t="s">
        <v>11</v>
      </c>
      <c r="C8" s="5" t="s">
        <v>12</v>
      </c>
      <c r="D8" s="5" t="s">
        <v>13</v>
      </c>
      <c r="E8" s="5" t="s">
        <v>14</v>
      </c>
      <c r="F8" s="5" t="s">
        <v>15</v>
      </c>
      <c r="G8" s="5" t="s">
        <v>16</v>
      </c>
      <c r="H8" s="5" t="s">
        <v>17</v>
      </c>
      <c r="I8" s="5" t="s">
        <v>18</v>
      </c>
    </row>
    <row r="9" spans="1:9">
      <c r="A9" s="14">
        <v>1</v>
      </c>
      <c r="B9" s="15">
        <f>$B$2</f>
        <v>1</v>
      </c>
      <c r="C9" s="15">
        <f>$B$3</f>
        <v>2</v>
      </c>
      <c r="D9" s="15">
        <f t="shared" ref="D9:D24" si="0">(B9+C9)/2</f>
        <v>1.5</v>
      </c>
      <c r="E9" s="15">
        <f t="shared" ref="E9:E24" si="1">D9^3-D9-1</f>
        <v>0.875</v>
      </c>
      <c r="F9" s="16">
        <f t="shared" ref="F9:F24" si="2">E9*($B$5)</f>
        <v>-0.875</v>
      </c>
      <c r="G9" s="15">
        <f t="shared" ref="G9:G24" si="3">C9-B9</f>
        <v>1</v>
      </c>
      <c r="H9" s="16">
        <f t="shared" ref="H9:H24" si="4">ABS(E9)</f>
        <v>0.875</v>
      </c>
      <c r="I9" s="18" t="str">
        <f t="shared" ref="I9:I24" si="5">IF(G9/2&lt;$B$4,"да","нет")</f>
        <v>нет</v>
      </c>
    </row>
    <row r="10" spans="1:9">
      <c r="A10" s="14">
        <f t="shared" ref="A10:A24" si="6">A9+1</f>
        <v>2</v>
      </c>
      <c r="B10" s="15">
        <f t="shared" ref="B10:B24" si="7">IF(F9&lt;0,B9,D9)</f>
        <v>1</v>
      </c>
      <c r="C10" s="15">
        <f t="shared" ref="C10:C24" si="8">IF(F9&lt;0,D9,C9)</f>
        <v>1.5</v>
      </c>
      <c r="D10" s="15">
        <f t="shared" si="0"/>
        <v>1.25</v>
      </c>
      <c r="E10" s="15">
        <f t="shared" si="1"/>
        <v>-0.296875</v>
      </c>
      <c r="F10" s="16">
        <f t="shared" si="2"/>
        <v>0.296875</v>
      </c>
      <c r="G10" s="15">
        <f t="shared" si="3"/>
        <v>0.5</v>
      </c>
      <c r="H10" s="16">
        <f t="shared" si="4"/>
        <v>0.296875</v>
      </c>
      <c r="I10" s="18" t="str">
        <f t="shared" si="5"/>
        <v>нет</v>
      </c>
    </row>
    <row r="11" spans="1:9">
      <c r="A11" s="14">
        <f t="shared" si="6"/>
        <v>3</v>
      </c>
      <c r="B11" s="15">
        <f t="shared" si="7"/>
        <v>1.25</v>
      </c>
      <c r="C11" s="15">
        <f t="shared" si="8"/>
        <v>1.5</v>
      </c>
      <c r="D11" s="15">
        <f t="shared" si="0"/>
        <v>1.375</v>
      </c>
      <c r="E11" s="15">
        <f t="shared" si="1"/>
        <v>0.224609375</v>
      </c>
      <c r="F11" s="16">
        <f t="shared" si="2"/>
        <v>-0.224609375</v>
      </c>
      <c r="G11" s="15">
        <f t="shared" si="3"/>
        <v>0.25</v>
      </c>
      <c r="H11" s="16">
        <f t="shared" si="4"/>
        <v>0.224609375</v>
      </c>
      <c r="I11" s="18" t="str">
        <f t="shared" si="5"/>
        <v>нет</v>
      </c>
    </row>
    <row r="12" spans="1:9">
      <c r="A12" s="14">
        <f t="shared" si="6"/>
        <v>4</v>
      </c>
      <c r="B12" s="15">
        <f t="shared" si="7"/>
        <v>1.25</v>
      </c>
      <c r="C12" s="15">
        <f t="shared" si="8"/>
        <v>1.375</v>
      </c>
      <c r="D12" s="15">
        <f t="shared" si="0"/>
        <v>1.3125</v>
      </c>
      <c r="E12" s="15">
        <f t="shared" si="1"/>
        <v>-0.051513671875</v>
      </c>
      <c r="F12" s="16">
        <f t="shared" si="2"/>
        <v>0.051513671875</v>
      </c>
      <c r="G12" s="15">
        <f t="shared" si="3"/>
        <v>0.125</v>
      </c>
      <c r="H12" s="16">
        <f t="shared" si="4"/>
        <v>0.051513671875</v>
      </c>
      <c r="I12" s="18" t="str">
        <f t="shared" si="5"/>
        <v>нет</v>
      </c>
    </row>
    <row r="13" spans="1:9">
      <c r="A13" s="14">
        <f t="shared" si="6"/>
        <v>5</v>
      </c>
      <c r="B13" s="15">
        <f t="shared" si="7"/>
        <v>1.3125</v>
      </c>
      <c r="C13" s="15">
        <f t="shared" si="8"/>
        <v>1.375</v>
      </c>
      <c r="D13" s="15">
        <f t="shared" si="0"/>
        <v>1.34375</v>
      </c>
      <c r="E13" s="15">
        <f t="shared" si="1"/>
        <v>0.082611083984375</v>
      </c>
      <c r="F13" s="16">
        <f t="shared" si="2"/>
        <v>-0.082611083984375</v>
      </c>
      <c r="G13" s="15">
        <f t="shared" si="3"/>
        <v>0.0625</v>
      </c>
      <c r="H13" s="16">
        <f t="shared" si="4"/>
        <v>0.082611083984375</v>
      </c>
      <c r="I13" s="18" t="str">
        <f t="shared" si="5"/>
        <v>нет</v>
      </c>
    </row>
    <row r="14" spans="1:9">
      <c r="A14" s="14">
        <f t="shared" si="6"/>
        <v>6</v>
      </c>
      <c r="B14" s="15">
        <f t="shared" si="7"/>
        <v>1.3125</v>
      </c>
      <c r="C14" s="15">
        <f t="shared" si="8"/>
        <v>1.34375</v>
      </c>
      <c r="D14" s="15">
        <f t="shared" si="0"/>
        <v>1.328125</v>
      </c>
      <c r="E14" s="15">
        <f t="shared" si="1"/>
        <v>0.0145759582519531</v>
      </c>
      <c r="F14" s="16">
        <f t="shared" si="2"/>
        <v>-0.0145759582519531</v>
      </c>
      <c r="G14" s="15">
        <f t="shared" si="3"/>
        <v>0.03125</v>
      </c>
      <c r="H14" s="16">
        <f t="shared" si="4"/>
        <v>0.0145759582519531</v>
      </c>
      <c r="I14" s="18" t="str">
        <f t="shared" si="5"/>
        <v>нет</v>
      </c>
    </row>
    <row r="15" spans="1:9">
      <c r="A15" s="14">
        <f t="shared" si="6"/>
        <v>7</v>
      </c>
      <c r="B15" s="15">
        <f t="shared" si="7"/>
        <v>1.3125</v>
      </c>
      <c r="C15" s="15">
        <f t="shared" si="8"/>
        <v>1.328125</v>
      </c>
      <c r="D15" s="15">
        <f t="shared" si="0"/>
        <v>1.3203125</v>
      </c>
      <c r="E15" s="15">
        <f t="shared" si="1"/>
        <v>-0.0187106132507324</v>
      </c>
      <c r="F15" s="16">
        <f t="shared" si="2"/>
        <v>0.0187106132507324</v>
      </c>
      <c r="G15" s="15">
        <f t="shared" si="3"/>
        <v>0.015625</v>
      </c>
      <c r="H15" s="16">
        <f t="shared" si="4"/>
        <v>0.0187106132507324</v>
      </c>
      <c r="I15" s="18" t="str">
        <f t="shared" si="5"/>
        <v>нет</v>
      </c>
    </row>
    <row r="16" spans="1:9">
      <c r="A16" s="14">
        <f t="shared" si="6"/>
        <v>8</v>
      </c>
      <c r="B16" s="15">
        <f t="shared" si="7"/>
        <v>1.3203125</v>
      </c>
      <c r="C16" s="15">
        <f t="shared" si="8"/>
        <v>1.328125</v>
      </c>
      <c r="D16" s="15">
        <f t="shared" si="0"/>
        <v>1.32421875</v>
      </c>
      <c r="E16" s="15">
        <f t="shared" si="1"/>
        <v>-0.00212794542312622</v>
      </c>
      <c r="F16" s="16">
        <f t="shared" si="2"/>
        <v>0.00212794542312622</v>
      </c>
      <c r="G16" s="15">
        <f t="shared" si="3"/>
        <v>0.0078125</v>
      </c>
      <c r="H16" s="16">
        <f t="shared" si="4"/>
        <v>0.00212794542312622</v>
      </c>
      <c r="I16" s="18" t="str">
        <f t="shared" si="5"/>
        <v>нет</v>
      </c>
    </row>
    <row r="17" spans="1:9">
      <c r="A17" s="14">
        <f t="shared" si="6"/>
        <v>9</v>
      </c>
      <c r="B17" s="15">
        <f t="shared" si="7"/>
        <v>1.32421875</v>
      </c>
      <c r="C17" s="15">
        <f t="shared" si="8"/>
        <v>1.328125</v>
      </c>
      <c r="D17" s="15">
        <f t="shared" si="0"/>
        <v>1.326171875</v>
      </c>
      <c r="E17" s="15">
        <f t="shared" si="1"/>
        <v>0.00620882958173752</v>
      </c>
      <c r="F17" s="16">
        <f t="shared" si="2"/>
        <v>-0.00620882958173752</v>
      </c>
      <c r="G17" s="15">
        <f t="shared" si="3"/>
        <v>0.00390625</v>
      </c>
      <c r="H17" s="16">
        <f t="shared" si="4"/>
        <v>0.00620882958173752</v>
      </c>
      <c r="I17" s="18" t="str">
        <f t="shared" si="5"/>
        <v>нет</v>
      </c>
    </row>
    <row r="18" spans="1:9">
      <c r="A18" s="14">
        <f t="shared" si="6"/>
        <v>10</v>
      </c>
      <c r="B18" s="15">
        <f t="shared" si="7"/>
        <v>1.32421875</v>
      </c>
      <c r="C18" s="15">
        <f t="shared" si="8"/>
        <v>1.326171875</v>
      </c>
      <c r="D18" s="15">
        <f t="shared" si="0"/>
        <v>1.3251953125</v>
      </c>
      <c r="E18" s="15">
        <f t="shared" si="1"/>
        <v>0.00203665066510439</v>
      </c>
      <c r="F18" s="16">
        <f t="shared" si="2"/>
        <v>-0.00203665066510439</v>
      </c>
      <c r="G18" s="15">
        <f t="shared" si="3"/>
        <v>0.001953125</v>
      </c>
      <c r="H18" s="16">
        <f t="shared" si="4"/>
        <v>0.00203665066510439</v>
      </c>
      <c r="I18" s="18" t="str">
        <f t="shared" si="5"/>
        <v>нет</v>
      </c>
    </row>
    <row r="19" spans="1:9">
      <c r="A19" s="14">
        <f t="shared" si="6"/>
        <v>11</v>
      </c>
      <c r="B19" s="15">
        <f t="shared" si="7"/>
        <v>1.32421875</v>
      </c>
      <c r="C19" s="15">
        <f t="shared" si="8"/>
        <v>1.3251953125</v>
      </c>
      <c r="D19" s="15">
        <f t="shared" si="0"/>
        <v>1.32470703125</v>
      </c>
      <c r="E19" s="15">
        <f t="shared" si="1"/>
        <v>-4.65948833152652e-5</v>
      </c>
      <c r="F19" s="16">
        <f t="shared" si="2"/>
        <v>4.65948833152652e-5</v>
      </c>
      <c r="G19" s="15">
        <f t="shared" si="3"/>
        <v>0.0009765625</v>
      </c>
      <c r="H19" s="16">
        <f t="shared" si="4"/>
        <v>4.65948833152652e-5</v>
      </c>
      <c r="I19" s="18" t="str">
        <f t="shared" si="5"/>
        <v>нет</v>
      </c>
    </row>
    <row r="20" spans="1:9">
      <c r="A20" s="14">
        <f t="shared" si="6"/>
        <v>12</v>
      </c>
      <c r="B20" s="15">
        <f t="shared" si="7"/>
        <v>1.32470703125</v>
      </c>
      <c r="C20" s="15">
        <f t="shared" si="8"/>
        <v>1.3251953125</v>
      </c>
      <c r="D20" s="15">
        <f t="shared" si="0"/>
        <v>1.324951171875</v>
      </c>
      <c r="E20" s="15">
        <f t="shared" si="1"/>
        <v>0.000994790971162729</v>
      </c>
      <c r="F20" s="16">
        <f t="shared" si="2"/>
        <v>-0.000994790971162729</v>
      </c>
      <c r="G20" s="15">
        <f t="shared" si="3"/>
        <v>0.00048828125</v>
      </c>
      <c r="H20" s="16">
        <f t="shared" si="4"/>
        <v>0.000994790971162729</v>
      </c>
      <c r="I20" s="18" t="str">
        <f t="shared" si="5"/>
        <v>нет</v>
      </c>
    </row>
    <row r="21" spans="1:9">
      <c r="A21" s="14">
        <f t="shared" si="6"/>
        <v>13</v>
      </c>
      <c r="B21" s="15">
        <f t="shared" si="7"/>
        <v>1.32470703125</v>
      </c>
      <c r="C21" s="15">
        <f t="shared" si="8"/>
        <v>1.324951171875</v>
      </c>
      <c r="D21" s="15">
        <f t="shared" si="0"/>
        <v>1.3248291015625</v>
      </c>
      <c r="E21" s="15">
        <f t="shared" si="1"/>
        <v>0.000474038819447742</v>
      </c>
      <c r="F21" s="16">
        <f t="shared" si="2"/>
        <v>-0.000474038819447742</v>
      </c>
      <c r="G21" s="15">
        <f t="shared" si="3"/>
        <v>0.000244140625</v>
      </c>
      <c r="H21" s="16">
        <f t="shared" si="4"/>
        <v>0.000474038819447742</v>
      </c>
      <c r="I21" s="18" t="str">
        <f t="shared" si="5"/>
        <v>нет</v>
      </c>
    </row>
    <row r="22" spans="1:9">
      <c r="A22" s="14">
        <f t="shared" si="6"/>
        <v>14</v>
      </c>
      <c r="B22" s="15">
        <f t="shared" si="7"/>
        <v>1.32470703125</v>
      </c>
      <c r="C22" s="15">
        <f t="shared" si="8"/>
        <v>1.3248291015625</v>
      </c>
      <c r="D22" s="15">
        <f t="shared" si="0"/>
        <v>1.32476806640625</v>
      </c>
      <c r="E22" s="15">
        <f t="shared" si="1"/>
        <v>0.000213707162629362</v>
      </c>
      <c r="F22" s="16">
        <f t="shared" si="2"/>
        <v>-0.000213707162629362</v>
      </c>
      <c r="G22" s="15">
        <f t="shared" si="3"/>
        <v>0.0001220703125</v>
      </c>
      <c r="H22" s="16">
        <f t="shared" si="4"/>
        <v>0.000213707162629362</v>
      </c>
      <c r="I22" s="18" t="str">
        <f t="shared" si="5"/>
        <v>да</v>
      </c>
    </row>
    <row r="23" spans="1:9">
      <c r="A23" s="14">
        <f t="shared" si="6"/>
        <v>15</v>
      </c>
      <c r="B23" s="15">
        <f t="shared" si="7"/>
        <v>1.32470703125</v>
      </c>
      <c r="C23" s="15">
        <f t="shared" si="8"/>
        <v>1.32476806640625</v>
      </c>
      <c r="D23" s="15">
        <f t="shared" si="0"/>
        <v>1.32473754882812</v>
      </c>
      <c r="E23" s="15">
        <f t="shared" si="1"/>
        <v>8.35524383830943e-5</v>
      </c>
      <c r="F23" s="16">
        <f t="shared" si="2"/>
        <v>-8.35524383830943e-5</v>
      </c>
      <c r="G23" s="15">
        <f t="shared" si="3"/>
        <v>6.103515625e-5</v>
      </c>
      <c r="H23" s="16">
        <f t="shared" si="4"/>
        <v>8.35524383830943e-5</v>
      </c>
      <c r="I23" s="18" t="str">
        <f t="shared" si="5"/>
        <v>да</v>
      </c>
    </row>
    <row r="24" spans="1:9">
      <c r="A24" s="14">
        <f t="shared" si="6"/>
        <v>16</v>
      </c>
      <c r="B24" s="15">
        <f t="shared" si="7"/>
        <v>1.32470703125</v>
      </c>
      <c r="C24" s="15">
        <f t="shared" si="8"/>
        <v>1.32473754882812</v>
      </c>
      <c r="D24" s="15">
        <f t="shared" si="0"/>
        <v>1.32472229003906</v>
      </c>
      <c r="E24" s="15">
        <f t="shared" si="1"/>
        <v>1.84778522260842e-5</v>
      </c>
      <c r="F24" s="16">
        <f t="shared" si="2"/>
        <v>-1.84778522260842e-5</v>
      </c>
      <c r="G24" s="15">
        <f t="shared" si="3"/>
        <v>3.0517578125e-5</v>
      </c>
      <c r="H24" s="16">
        <f t="shared" si="4"/>
        <v>1.84778522260842e-5</v>
      </c>
      <c r="I24" s="18" t="str">
        <f t="shared" si="5"/>
        <v>да</v>
      </c>
    </row>
    <row r="27" spans="1:9">
      <c r="A27" s="1" t="s">
        <v>19</v>
      </c>
    </row>
    <row r="28" spans="1:9">
      <c r="A28" s="2" t="s">
        <v>20</v>
      </c>
      <c r="B28" s="19">
        <f>INDEX(D9:D24,MATCH("да",I9:I24,0))</f>
        <v>1.32476806640625</v>
      </c>
    </row>
    <row r="29" spans="1:9">
      <c r="A29" s="2" t="s">
        <v>21</v>
      </c>
      <c r="B29" s="20">
        <f>INDEX(A9:A24,MATCH("да",I9:I24,0))</f>
        <v>14</v>
      </c>
    </row>
    <row r="30" spans="1:9">
      <c r="A30" s="2" t="s">
        <v>22</v>
      </c>
      <c r="B30" s="21">
        <f>INDEX(H9:H24,MATCH("да",I9:I24,0))</f>
        <v>0.000213707162629362</v>
      </c>
    </row>
    <row r="32" spans="1:9">
      <c r="A32" s="4" t="s">
        <v>23</v>
      </c>
    </row>
    <row r="33" spans="1:4">
      <c r="A33" s="2"/>
      <c r="D33" s="20">
        <f>INDEX(A9:A24,MATCH(TRUE(),INDEX(H9:H24&lt;$B$4,0),0))</f>
        <v>11</v>
      </c>
    </row>
  </sheetData>
  <conditionalFormatting sqref="A9:I24">
    <cfRule type="expression" dxfId="0" priority="2">
      <formula>AND($I9="да",COUNTIF($I$8:$I8,"да")=0)</formula>
    </cfRule>
  </conditionalFormatting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6"/>
  <sheetViews>
    <sheetView workbookViewId="0">
      <selection activeCell="A26" sqref="A26"/>
    </sheetView>
  </sheetViews>
  <sheetFormatPr defaultColWidth="8.67619047619048" defaultRowHeight="15" outlineLevelCol="5"/>
  <cols>
    <col min="1" max="1" width="24" customWidth="1"/>
    <col min="2" max="2" width="15" customWidth="1"/>
    <col min="3" max="3" width="19" customWidth="1"/>
    <col min="4" max="4" width="17" customWidth="1"/>
    <col min="5" max="5" width="16" customWidth="1"/>
    <col min="6" max="6" width="14" customWidth="1"/>
  </cols>
  <sheetData>
    <row r="1" spans="1:6">
      <c r="A1" s="1" t="s">
        <v>0</v>
      </c>
      <c r="B1" s="1" t="s">
        <v>24</v>
      </c>
    </row>
    <row r="2" spans="1:6">
      <c r="A2" s="2" t="s">
        <v>25</v>
      </c>
      <c r="B2" s="13">
        <v>1.5</v>
      </c>
    </row>
    <row r="3" spans="1:6">
      <c r="A3" s="2" t="s">
        <v>5</v>
      </c>
      <c r="B3" s="13">
        <v>0.0001</v>
      </c>
    </row>
    <row r="4" spans="1:6">
      <c r="A4" s="2" t="s">
        <v>26</v>
      </c>
      <c r="B4" s="23">
        <f>1/(3*(B2+1)^(2/3))</f>
        <v>0.18096117443966</v>
      </c>
    </row>
    <row r="5" spans="1:6">
      <c r="A5" s="2" t="s">
        <v>27</v>
      </c>
      <c r="B5" s="23">
        <f>1/(3*(1+1)^(2/3))</f>
        <v>0.209986841649146</v>
      </c>
      <c r="C5" s="4" t="s">
        <v>28</v>
      </c>
    </row>
    <row r="6" spans="1:6">
      <c r="A6" s="2" t="s">
        <v>29</v>
      </c>
      <c r="B6" s="2" t="str">
        <f>IF(B5&lt;1,"условие сходимости выполнено","НЕ выполнено")</f>
        <v>условие сходимости выполнено</v>
      </c>
    </row>
    <row r="8" ht="31.5" customHeight="1" spans="1:6">
      <c r="A8" s="5" t="s">
        <v>30</v>
      </c>
      <c r="B8" s="5" t="s">
        <v>31</v>
      </c>
      <c r="C8" s="5" t="s">
        <v>32</v>
      </c>
      <c r="D8" s="5" t="s">
        <v>33</v>
      </c>
      <c r="E8" s="5" t="s">
        <v>34</v>
      </c>
      <c r="F8" s="5" t="s">
        <v>35</v>
      </c>
    </row>
    <row r="9" spans="1:6">
      <c r="A9" s="14">
        <v>0</v>
      </c>
      <c r="B9" s="15">
        <f>$B$2</f>
        <v>1.5</v>
      </c>
      <c r="C9" s="15">
        <f t="shared" ref="C9:C18" si="0">(B9+1)^(1/3)</f>
        <v>1.35720880829745</v>
      </c>
      <c r="D9" s="16">
        <f t="shared" ref="D9:D18" si="1">ABS(C9-B9)</f>
        <v>0.142791191702547</v>
      </c>
      <c r="E9" s="16">
        <f t="shared" ref="E9:E18" si="2">C9^3-C9-1</f>
        <v>0.142791191702546</v>
      </c>
      <c r="F9" s="18" t="str">
        <f t="shared" ref="F9:F18" si="3">IF(D9&lt;$B$3,"да","нет")</f>
        <v>нет</v>
      </c>
    </row>
    <row r="10" spans="1:6">
      <c r="A10" s="14">
        <f t="shared" ref="A10:A18" si="4">A9+1</f>
        <v>1</v>
      </c>
      <c r="B10" s="15">
        <f t="shared" ref="B10:B18" si="5">C9</f>
        <v>1.35720880829745</v>
      </c>
      <c r="C10" s="15">
        <f t="shared" si="0"/>
        <v>1.33086095880143</v>
      </c>
      <c r="D10" s="16">
        <f t="shared" si="1"/>
        <v>0.0263478494960254</v>
      </c>
      <c r="E10" s="16">
        <f t="shared" si="2"/>
        <v>0.0263478494960252</v>
      </c>
      <c r="F10" s="18" t="str">
        <f t="shared" si="3"/>
        <v>нет</v>
      </c>
    </row>
    <row r="11" spans="1:6">
      <c r="A11" s="14">
        <f t="shared" si="4"/>
        <v>2</v>
      </c>
      <c r="B11" s="15">
        <f t="shared" si="5"/>
        <v>1.33086095880143</v>
      </c>
      <c r="C11" s="15">
        <f t="shared" si="0"/>
        <v>1.32588377423235</v>
      </c>
      <c r="D11" s="16">
        <f t="shared" si="1"/>
        <v>0.00497718456907981</v>
      </c>
      <c r="E11" s="16">
        <f t="shared" si="2"/>
        <v>0.00497718456908003</v>
      </c>
      <c r="F11" s="18" t="str">
        <f t="shared" si="3"/>
        <v>нет</v>
      </c>
    </row>
    <row r="12" spans="1:6">
      <c r="A12" s="14">
        <f t="shared" si="4"/>
        <v>3</v>
      </c>
      <c r="B12" s="15">
        <f t="shared" si="5"/>
        <v>1.32588377423235</v>
      </c>
      <c r="C12" s="15">
        <f t="shared" si="0"/>
        <v>1.32493936340188</v>
      </c>
      <c r="D12" s="16">
        <f t="shared" si="1"/>
        <v>0.000944410830463038</v>
      </c>
      <c r="E12" s="16">
        <f t="shared" si="2"/>
        <v>0.000944410830462816</v>
      </c>
      <c r="F12" s="18" t="str">
        <f t="shared" si="3"/>
        <v>нет</v>
      </c>
    </row>
    <row r="13" spans="1:6">
      <c r="A13" s="14">
        <f t="shared" si="4"/>
        <v>4</v>
      </c>
      <c r="B13" s="15">
        <f t="shared" si="5"/>
        <v>1.32493936340188</v>
      </c>
      <c r="C13" s="15">
        <f t="shared" si="0"/>
        <v>1.3247600112927</v>
      </c>
      <c r="D13" s="16">
        <f t="shared" si="1"/>
        <v>0.000179352109182185</v>
      </c>
      <c r="E13" s="16">
        <f t="shared" si="2"/>
        <v>0.000179352109182851</v>
      </c>
      <c r="F13" s="18" t="str">
        <f t="shared" si="3"/>
        <v>нет</v>
      </c>
    </row>
    <row r="14" spans="1:6">
      <c r="A14" s="14">
        <f t="shared" si="4"/>
        <v>5</v>
      </c>
      <c r="B14" s="15">
        <f t="shared" si="5"/>
        <v>1.3247600112927</v>
      </c>
      <c r="C14" s="15">
        <f t="shared" si="0"/>
        <v>1.32472594522689</v>
      </c>
      <c r="D14" s="16">
        <f t="shared" si="1"/>
        <v>3.40660658155745e-5</v>
      </c>
      <c r="E14" s="16">
        <f t="shared" si="2"/>
        <v>3.40660658151304e-5</v>
      </c>
      <c r="F14" s="18" t="str">
        <f t="shared" si="3"/>
        <v>да</v>
      </c>
    </row>
    <row r="15" spans="1:6">
      <c r="A15" s="14">
        <f t="shared" si="4"/>
        <v>6</v>
      </c>
      <c r="B15" s="15">
        <f t="shared" si="5"/>
        <v>1.32472594522689</v>
      </c>
      <c r="C15" s="15">
        <f t="shared" si="0"/>
        <v>1.32471947453436</v>
      </c>
      <c r="D15" s="16">
        <f t="shared" si="1"/>
        <v>6.47069252313059e-6</v>
      </c>
      <c r="E15" s="16">
        <f t="shared" si="2"/>
        <v>6.47069252246446e-6</v>
      </c>
      <c r="F15" s="18" t="str">
        <f t="shared" si="3"/>
        <v>да</v>
      </c>
    </row>
    <row r="16" spans="1:6">
      <c r="A16" s="14">
        <f t="shared" si="4"/>
        <v>7</v>
      </c>
      <c r="B16" s="15">
        <f t="shared" si="5"/>
        <v>1.32471947453436</v>
      </c>
      <c r="C16" s="15">
        <f t="shared" si="0"/>
        <v>1.32471824544894</v>
      </c>
      <c r="D16" s="16">
        <f t="shared" si="1"/>
        <v>1.22908542832256e-6</v>
      </c>
      <c r="E16" s="16">
        <f t="shared" si="2"/>
        <v>1.22908542765643e-6</v>
      </c>
      <c r="F16" s="18" t="str">
        <f t="shared" si="3"/>
        <v>да</v>
      </c>
    </row>
    <row r="17" spans="1:6">
      <c r="A17" s="14">
        <f t="shared" si="4"/>
        <v>8</v>
      </c>
      <c r="B17" s="15">
        <f t="shared" si="5"/>
        <v>1.32471824544894</v>
      </c>
      <c r="C17" s="15">
        <f t="shared" si="0"/>
        <v>1.3247180119882</v>
      </c>
      <c r="D17" s="16">
        <f t="shared" si="1"/>
        <v>2.33460738741087e-7</v>
      </c>
      <c r="E17" s="16">
        <f t="shared" si="2"/>
        <v>2.33460739185176e-7</v>
      </c>
      <c r="F17" s="18" t="str">
        <f t="shared" si="3"/>
        <v>да</v>
      </c>
    </row>
    <row r="18" spans="1:6">
      <c r="A18" s="14">
        <f t="shared" si="4"/>
        <v>9</v>
      </c>
      <c r="B18" s="15">
        <f t="shared" si="5"/>
        <v>1.3247180119882</v>
      </c>
      <c r="C18" s="15">
        <f t="shared" si="0"/>
        <v>1.32471796764309</v>
      </c>
      <c r="D18" s="16">
        <f t="shared" si="1"/>
        <v>4.43451095843983e-8</v>
      </c>
      <c r="E18" s="16">
        <f t="shared" si="2"/>
        <v>4.43451100284875e-8</v>
      </c>
      <c r="F18" s="18" t="str">
        <f t="shared" si="3"/>
        <v>да</v>
      </c>
    </row>
    <row r="21" spans="1:6">
      <c r="A21" s="1" t="s">
        <v>19</v>
      </c>
    </row>
    <row r="22" spans="1:6">
      <c r="A22" s="2" t="s">
        <v>20</v>
      </c>
      <c r="B22" s="19">
        <f>INDEX(C9:C18,MATCH("да",F9:F18,0))</f>
        <v>1.32472594522689</v>
      </c>
    </row>
    <row r="23" spans="1:6">
      <c r="A23" s="2" t="s">
        <v>21</v>
      </c>
      <c r="B23" s="20">
        <f>INDEX(A9:A18,MATCH("да",F9:F18,0))+1</f>
        <v>6</v>
      </c>
    </row>
    <row r="24" spans="1:6">
      <c r="A24" s="2" t="s">
        <v>22</v>
      </c>
      <c r="B24" s="21">
        <f>ABS(INDEX(E9:E18,MATCH("да",F9:F18,0)))</f>
        <v>3.40660658151304e-5</v>
      </c>
    </row>
    <row r="26" spans="1:6">
      <c r="A26" s="4" t="s">
        <v>36</v>
      </c>
    </row>
  </sheetData>
  <conditionalFormatting sqref="A9:F18">
    <cfRule type="expression" dxfId="0" priority="2">
      <formula>AND($F9="да",COUNTIF($F$8:$F8,"да")=0)</formula>
    </cfRule>
  </conditionalFormatting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workbookViewId="0">
      <selection activeCell="A22" sqref="A22"/>
    </sheetView>
  </sheetViews>
  <sheetFormatPr defaultColWidth="8.67619047619048" defaultRowHeight="15" outlineLevelCol="7"/>
  <cols>
    <col min="1" max="1" width="22" customWidth="1"/>
    <col min="2" max="2" width="15" customWidth="1"/>
    <col min="3" max="3" width="16" customWidth="1"/>
    <col min="4" max="4" width="14" customWidth="1"/>
    <col min="5" max="5" width="15" customWidth="1"/>
    <col min="6" max="6" width="17" customWidth="1"/>
    <col min="7" max="7" width="16" customWidth="1"/>
    <col min="8" max="8" width="14" customWidth="1"/>
  </cols>
  <sheetData>
    <row r="1" spans="1:8">
      <c r="A1" s="1" t="s">
        <v>0</v>
      </c>
      <c r="B1" s="1" t="s">
        <v>37</v>
      </c>
    </row>
    <row r="2" spans="1:8">
      <c r="A2" s="2" t="s">
        <v>25</v>
      </c>
      <c r="B2" s="13">
        <v>2</v>
      </c>
    </row>
    <row r="3" spans="1:8">
      <c r="A3" s="2" t="s">
        <v>5</v>
      </c>
      <c r="B3" s="13">
        <v>0.0001</v>
      </c>
    </row>
    <row r="4" spans="1:8">
      <c r="A4" s="2" t="s">
        <v>38</v>
      </c>
      <c r="B4" s="22">
        <f>6*B2</f>
        <v>12</v>
      </c>
    </row>
    <row r="5" spans="1:8">
      <c r="A5" s="2" t="s">
        <v>39</v>
      </c>
      <c r="B5" s="22">
        <f>(B2^3-B2-1)*B4</f>
        <v>60</v>
      </c>
      <c r="C5" s="4" t="s">
        <v>40</v>
      </c>
    </row>
    <row r="6" ht="31.5" customHeight="1" spans="1:8">
      <c r="A6" s="5" t="s">
        <v>41</v>
      </c>
      <c r="B6" s="5" t="s">
        <v>42</v>
      </c>
      <c r="C6" s="5" t="s">
        <v>43</v>
      </c>
      <c r="D6" s="5" t="s">
        <v>44</v>
      </c>
      <c r="E6" s="5" t="s">
        <v>45</v>
      </c>
      <c r="F6" s="5" t="s">
        <v>46</v>
      </c>
      <c r="G6" s="5" t="s">
        <v>47</v>
      </c>
      <c r="H6" s="5" t="s">
        <v>35</v>
      </c>
    </row>
    <row r="7" spans="1:8">
      <c r="A7" s="14">
        <v>0</v>
      </c>
      <c r="B7" s="15">
        <f>$B$2</f>
        <v>2</v>
      </c>
      <c r="C7" s="16">
        <f t="shared" ref="C7:C14" si="0">B7^3-B7-1</f>
        <v>5</v>
      </c>
      <c r="D7" s="15">
        <f t="shared" ref="D7:D14" si="1">3*B7^2-1</f>
        <v>11</v>
      </c>
      <c r="E7" s="15">
        <f t="shared" ref="E7:E14" si="2">B7-C7/D7</f>
        <v>1.54545454545455</v>
      </c>
      <c r="F7" s="16">
        <f t="shared" ref="F7:F14" si="3">ABS(E7-B7)</f>
        <v>0.454545454545455</v>
      </c>
      <c r="G7" s="16">
        <f t="shared" ref="G7:G14" si="4">E7^3-E7-1</f>
        <v>1.14575507137491</v>
      </c>
      <c r="H7" s="18" t="str">
        <f t="shared" ref="H7:H14" si="5">IF(F7&lt;$B$3,"да","нет")</f>
        <v>нет</v>
      </c>
    </row>
    <row r="8" spans="1:8">
      <c r="A8" s="14">
        <f t="shared" ref="A8:A14" si="6">A7+1</f>
        <v>1</v>
      </c>
      <c r="B8" s="15">
        <f t="shared" ref="B8:B14" si="7">E7</f>
        <v>1.54545454545455</v>
      </c>
      <c r="C8" s="16">
        <f t="shared" si="0"/>
        <v>1.14575507137491</v>
      </c>
      <c r="D8" s="15">
        <f t="shared" si="1"/>
        <v>6.16528925619835</v>
      </c>
      <c r="E8" s="15">
        <f t="shared" si="2"/>
        <v>1.35961491591518</v>
      </c>
      <c r="F8" s="16">
        <f t="shared" si="3"/>
        <v>0.185839629539361</v>
      </c>
      <c r="G8" s="16">
        <f t="shared" si="4"/>
        <v>0.153704934480075</v>
      </c>
      <c r="H8" s="18" t="str">
        <f t="shared" si="5"/>
        <v>нет</v>
      </c>
    </row>
    <row r="9" spans="1:8">
      <c r="A9" s="14">
        <f t="shared" si="6"/>
        <v>2</v>
      </c>
      <c r="B9" s="15">
        <f t="shared" si="7"/>
        <v>1.35961491591518</v>
      </c>
      <c r="C9" s="16">
        <f t="shared" si="0"/>
        <v>0.153704934480075</v>
      </c>
      <c r="D9" s="15">
        <f t="shared" si="1"/>
        <v>4.54565815873716</v>
      </c>
      <c r="E9" s="15">
        <f t="shared" si="2"/>
        <v>1.32580134500585</v>
      </c>
      <c r="F9" s="16">
        <f t="shared" si="3"/>
        <v>0.033813570909339</v>
      </c>
      <c r="G9" s="16">
        <f t="shared" si="4"/>
        <v>0.00462491704782986</v>
      </c>
      <c r="H9" s="18" t="str">
        <f t="shared" si="5"/>
        <v>нет</v>
      </c>
    </row>
    <row r="10" spans="1:8">
      <c r="A10" s="14">
        <f t="shared" si="6"/>
        <v>3</v>
      </c>
      <c r="B10" s="15">
        <f t="shared" si="7"/>
        <v>1.32580134500585</v>
      </c>
      <c r="C10" s="16">
        <f t="shared" si="0"/>
        <v>0.00462491704782986</v>
      </c>
      <c r="D10" s="15">
        <f t="shared" si="1"/>
        <v>4.27324761925792</v>
      </c>
      <c r="E10" s="15">
        <f t="shared" si="2"/>
        <v>1.32471904941713</v>
      </c>
      <c r="F10" s="16">
        <f t="shared" si="3"/>
        <v>0.00108229558871975</v>
      </c>
      <c r="G10" s="16">
        <f t="shared" si="4"/>
        <v>4.65771910929114e-6</v>
      </c>
      <c r="H10" s="18" t="str">
        <f t="shared" si="5"/>
        <v>нет</v>
      </c>
    </row>
    <row r="11" spans="1:8">
      <c r="A11" s="14">
        <f t="shared" si="6"/>
        <v>4</v>
      </c>
      <c r="B11" s="15">
        <f t="shared" si="7"/>
        <v>1.32471904941713</v>
      </c>
      <c r="C11" s="16">
        <f t="shared" si="0"/>
        <v>4.65771910929114e-6</v>
      </c>
      <c r="D11" s="15">
        <f t="shared" si="1"/>
        <v>4.26464167966584</v>
      </c>
      <c r="E11" s="15">
        <f t="shared" si="2"/>
        <v>1.32471795724586</v>
      </c>
      <c r="F11" s="16">
        <f t="shared" si="3"/>
        <v>1.09217126764705e-6</v>
      </c>
      <c r="G11" s="16">
        <f t="shared" si="4"/>
        <v>4.74043027054449e-12</v>
      </c>
      <c r="H11" s="18" t="str">
        <f t="shared" si="5"/>
        <v>да</v>
      </c>
    </row>
    <row r="12" spans="1:8">
      <c r="A12" s="14">
        <f t="shared" si="6"/>
        <v>5</v>
      </c>
      <c r="B12" s="15">
        <f t="shared" si="7"/>
        <v>1.32471795724586</v>
      </c>
      <c r="C12" s="16">
        <f t="shared" si="0"/>
        <v>4.74043027054449e-12</v>
      </c>
      <c r="D12" s="15">
        <f t="shared" si="1"/>
        <v>4.26463299874891</v>
      </c>
      <c r="E12" s="15">
        <f t="shared" si="2"/>
        <v>1.32471795724475</v>
      </c>
      <c r="F12" s="16">
        <f t="shared" si="3"/>
        <v>1.11155529225471e-12</v>
      </c>
      <c r="G12" s="16">
        <f t="shared" si="4"/>
        <v>0</v>
      </c>
      <c r="H12" s="18" t="str">
        <f t="shared" si="5"/>
        <v>да</v>
      </c>
    </row>
    <row r="13" spans="1:8">
      <c r="A13" s="14">
        <f t="shared" si="6"/>
        <v>6</v>
      </c>
      <c r="B13" s="15">
        <f t="shared" si="7"/>
        <v>1.32471795724475</v>
      </c>
      <c r="C13" s="16">
        <f t="shared" si="0"/>
        <v>0</v>
      </c>
      <c r="D13" s="15">
        <f t="shared" si="1"/>
        <v>4.26463299874008</v>
      </c>
      <c r="E13" s="15">
        <f t="shared" si="2"/>
        <v>1.32471795724475</v>
      </c>
      <c r="F13" s="16">
        <f t="shared" si="3"/>
        <v>0</v>
      </c>
      <c r="G13" s="16">
        <f t="shared" si="4"/>
        <v>0</v>
      </c>
      <c r="H13" s="18" t="str">
        <f t="shared" si="5"/>
        <v>да</v>
      </c>
    </row>
    <row r="14" spans="1:8">
      <c r="A14" s="14">
        <f t="shared" si="6"/>
        <v>7</v>
      </c>
      <c r="B14" s="15">
        <f t="shared" si="7"/>
        <v>1.32471795724475</v>
      </c>
      <c r="C14" s="16">
        <f t="shared" si="0"/>
        <v>0</v>
      </c>
      <c r="D14" s="15">
        <f t="shared" si="1"/>
        <v>4.26463299874008</v>
      </c>
      <c r="E14" s="15">
        <f t="shared" si="2"/>
        <v>1.32471795724475</v>
      </c>
      <c r="F14" s="16">
        <f t="shared" si="3"/>
        <v>0</v>
      </c>
      <c r="G14" s="16">
        <f t="shared" si="4"/>
        <v>0</v>
      </c>
      <c r="H14" s="18" t="str">
        <f t="shared" si="5"/>
        <v>да</v>
      </c>
    </row>
    <row r="17" spans="1:2">
      <c r="A17" s="1" t="s">
        <v>19</v>
      </c>
    </row>
    <row r="18" spans="1:2">
      <c r="A18" s="2" t="s">
        <v>20</v>
      </c>
      <c r="B18" s="19">
        <f>INDEX(E7:E14,MATCH("да",H7:H14,0))</f>
        <v>1.32471795724586</v>
      </c>
    </row>
    <row r="19" spans="1:2">
      <c r="A19" s="2" t="s">
        <v>21</v>
      </c>
      <c r="B19" s="20">
        <f>INDEX(A7:A14,MATCH("да",H7:H14,0))+1</f>
        <v>5</v>
      </c>
    </row>
    <row r="20" spans="1:2">
      <c r="A20" s="2" t="s">
        <v>22</v>
      </c>
      <c r="B20" s="21">
        <f>ABS(INDEX(G7:G14,MATCH("да",H7:H14,0)))</f>
        <v>4.74043027054449e-12</v>
      </c>
    </row>
    <row r="22" spans="1:2">
      <c r="A22" s="4" t="s">
        <v>48</v>
      </c>
    </row>
  </sheetData>
  <conditionalFormatting sqref="A7:H14">
    <cfRule type="expression" dxfId="0" priority="2">
      <formula>AND($H7="да",COUNTIF($H$6:$H6,"да")=0)</formula>
    </cfRule>
  </conditionalFormatting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4"/>
  <sheetViews>
    <sheetView workbookViewId="0">
      <selection activeCell="A24" sqref="A24"/>
    </sheetView>
  </sheetViews>
  <sheetFormatPr defaultColWidth="8.67619047619048" defaultRowHeight="15"/>
  <cols>
    <col min="1" max="1" width="16" customWidth="1"/>
    <col min="2" max="2" width="15" customWidth="1"/>
    <col min="3" max="3" width="16" customWidth="1"/>
    <col min="4" max="4" width="17" customWidth="1"/>
    <col min="5" max="5" width="20" customWidth="1"/>
    <col min="6" max="6" width="15" customWidth="1"/>
    <col min="7" max="7" width="17" customWidth="1"/>
    <col min="8" max="8" width="16" customWidth="1"/>
    <col min="9" max="9" width="14" customWidth="1"/>
  </cols>
  <sheetData>
    <row r="1" spans="1:9">
      <c r="A1" s="1" t="s">
        <v>0</v>
      </c>
    </row>
    <row r="2" spans="1:9">
      <c r="A2" s="2" t="s">
        <v>25</v>
      </c>
      <c r="B2" s="13">
        <v>1</v>
      </c>
    </row>
    <row r="3" spans="1:9">
      <c r="A3" s="2" t="s">
        <v>49</v>
      </c>
      <c r="B3" s="13">
        <v>2</v>
      </c>
    </row>
    <row r="4" spans="1:9">
      <c r="A4" s="2" t="s">
        <v>5</v>
      </c>
      <c r="B4" s="13">
        <v>0.0001</v>
      </c>
    </row>
    <row r="6" ht="31.5" customHeight="1" spans="1:9">
      <c r="A6" s="5" t="s">
        <v>41</v>
      </c>
      <c r="B6" s="5" t="s">
        <v>42</v>
      </c>
      <c r="C6" s="5" t="s">
        <v>43</v>
      </c>
      <c r="D6" s="5" t="s">
        <v>50</v>
      </c>
      <c r="E6" s="5" t="s">
        <v>51</v>
      </c>
      <c r="F6" s="5" t="s">
        <v>45</v>
      </c>
      <c r="G6" s="5" t="s">
        <v>46</v>
      </c>
      <c r="H6" s="5" t="s">
        <v>47</v>
      </c>
      <c r="I6" s="5" t="s">
        <v>35</v>
      </c>
    </row>
    <row r="7" spans="1:9">
      <c r="A7" s="14">
        <v>0</v>
      </c>
      <c r="B7" s="15">
        <f>$B$2</f>
        <v>1</v>
      </c>
      <c r="C7" s="16">
        <f t="shared" ref="C7:C16" si="0">B7^3-B7-1</f>
        <v>-1</v>
      </c>
      <c r="D7" s="17"/>
      <c r="E7" s="17"/>
      <c r="F7" s="17"/>
      <c r="G7" s="17"/>
      <c r="H7" s="17"/>
      <c r="I7" s="17"/>
    </row>
    <row r="8" spans="1:9">
      <c r="A8" s="14">
        <f t="shared" ref="A8:A16" si="1">A7+1</f>
        <v>1</v>
      </c>
      <c r="B8" s="15">
        <f>$B$3</f>
        <v>2</v>
      </c>
      <c r="C8" s="16">
        <f t="shared" si="0"/>
        <v>5</v>
      </c>
      <c r="D8" s="16">
        <f t="shared" ref="D8:D16" si="2">B8-B7</f>
        <v>1</v>
      </c>
      <c r="E8" s="16">
        <f t="shared" ref="E8:E16" si="3">C8-C7</f>
        <v>6</v>
      </c>
      <c r="F8" s="15">
        <f t="shared" ref="F8:F16" si="4">IF(E8=0,B8,B8-C8*D8/E8)</f>
        <v>1.16666666666667</v>
      </c>
      <c r="G8" s="16">
        <f t="shared" ref="G8:G16" si="5">ABS(F8-B8)</f>
        <v>0.833333333333333</v>
      </c>
      <c r="H8" s="16">
        <f t="shared" ref="H8:H16" si="6">F8^3-F8-1</f>
        <v>-0.578703703703704</v>
      </c>
      <c r="I8" s="18" t="str">
        <f t="shared" ref="I8:I16" si="7">IF(G8&lt;$B$4,"да","нет")</f>
        <v>нет</v>
      </c>
    </row>
    <row r="9" spans="1:9">
      <c r="A9" s="14">
        <f t="shared" si="1"/>
        <v>2</v>
      </c>
      <c r="B9" s="15">
        <f t="shared" ref="B9:B16" si="8">F8</f>
        <v>1.16666666666667</v>
      </c>
      <c r="C9" s="16">
        <f t="shared" si="0"/>
        <v>-0.578703703703704</v>
      </c>
      <c r="D9" s="16">
        <f t="shared" si="2"/>
        <v>-0.833333333333333</v>
      </c>
      <c r="E9" s="16">
        <f t="shared" si="3"/>
        <v>-5.5787037037037</v>
      </c>
      <c r="F9" s="15">
        <f t="shared" si="4"/>
        <v>1.25311203319502</v>
      </c>
      <c r="G9" s="16">
        <f t="shared" si="5"/>
        <v>0.0864453665283542</v>
      </c>
      <c r="H9" s="16">
        <f t="shared" si="6"/>
        <v>-0.28536302963932</v>
      </c>
      <c r="I9" s="18" t="str">
        <f t="shared" si="7"/>
        <v>нет</v>
      </c>
    </row>
    <row r="10" spans="1:9">
      <c r="A10" s="14">
        <f t="shared" si="1"/>
        <v>3</v>
      </c>
      <c r="B10" s="15">
        <f t="shared" si="8"/>
        <v>1.25311203319502</v>
      </c>
      <c r="C10" s="16">
        <f t="shared" si="0"/>
        <v>-0.28536302963932</v>
      </c>
      <c r="D10" s="16">
        <f t="shared" si="2"/>
        <v>0.0864453665283542</v>
      </c>
      <c r="E10" s="16">
        <f t="shared" si="3"/>
        <v>0.293340674064384</v>
      </c>
      <c r="F10" s="15">
        <f t="shared" si="4"/>
        <v>1.33720644584166</v>
      </c>
      <c r="G10" s="16">
        <f t="shared" si="5"/>
        <v>0.0840944126466356</v>
      </c>
      <c r="H10" s="16">
        <f t="shared" si="6"/>
        <v>0.0538805866756749</v>
      </c>
      <c r="I10" s="18" t="str">
        <f t="shared" si="7"/>
        <v>нет</v>
      </c>
    </row>
    <row r="11" spans="1:9">
      <c r="A11" s="14">
        <f t="shared" si="1"/>
        <v>4</v>
      </c>
      <c r="B11" s="15">
        <f t="shared" si="8"/>
        <v>1.33720644584166</v>
      </c>
      <c r="C11" s="16">
        <f t="shared" si="0"/>
        <v>0.0538805866756749</v>
      </c>
      <c r="D11" s="16">
        <f t="shared" si="2"/>
        <v>0.0840944126466356</v>
      </c>
      <c r="E11" s="16">
        <f t="shared" si="3"/>
        <v>0.339243616314995</v>
      </c>
      <c r="F11" s="15">
        <f t="shared" si="4"/>
        <v>1.32385009638764</v>
      </c>
      <c r="G11" s="16">
        <f t="shared" si="5"/>
        <v>0.0133563494540154</v>
      </c>
      <c r="H11" s="16">
        <f t="shared" si="6"/>
        <v>-0.0036981154401643</v>
      </c>
      <c r="I11" s="18" t="str">
        <f t="shared" si="7"/>
        <v>нет</v>
      </c>
    </row>
    <row r="12" spans="1:9">
      <c r="A12" s="14">
        <f t="shared" si="1"/>
        <v>5</v>
      </c>
      <c r="B12" s="15">
        <f t="shared" si="8"/>
        <v>1.32385009638764</v>
      </c>
      <c r="C12" s="16">
        <f t="shared" si="0"/>
        <v>-0.0036981154401643</v>
      </c>
      <c r="D12" s="16">
        <f t="shared" si="2"/>
        <v>-0.0133563494540154</v>
      </c>
      <c r="E12" s="16">
        <f t="shared" si="3"/>
        <v>-0.0575787021158392</v>
      </c>
      <c r="F12" s="15">
        <f t="shared" si="4"/>
        <v>1.32470793653209</v>
      </c>
      <c r="G12" s="16">
        <f t="shared" si="5"/>
        <v>0.000857840144447009</v>
      </c>
      <c r="H12" s="16">
        <f t="shared" si="6"/>
        <v>-4.27342628102068e-5</v>
      </c>
      <c r="I12" s="18" t="str">
        <f t="shared" si="7"/>
        <v>нет</v>
      </c>
    </row>
    <row r="13" spans="1:9">
      <c r="A13" s="14">
        <f t="shared" si="1"/>
        <v>6</v>
      </c>
      <c r="B13" s="15">
        <f t="shared" si="8"/>
        <v>1.32470793653209</v>
      </c>
      <c r="C13" s="16">
        <f t="shared" si="0"/>
        <v>-4.27342628102068e-5</v>
      </c>
      <c r="D13" s="16">
        <f t="shared" si="2"/>
        <v>0.000857840144447009</v>
      </c>
      <c r="E13" s="16">
        <f t="shared" si="3"/>
        <v>0.00365538117735409</v>
      </c>
      <c r="F13" s="15">
        <f t="shared" si="4"/>
        <v>1.32471796535382</v>
      </c>
      <c r="G13" s="16">
        <f t="shared" si="5"/>
        <v>1.00288217297351e-5</v>
      </c>
      <c r="H13" s="16">
        <f t="shared" si="6"/>
        <v>3.45822150915609e-8</v>
      </c>
      <c r="I13" s="18" t="str">
        <f t="shared" si="7"/>
        <v>да</v>
      </c>
    </row>
    <row r="14" spans="1:9">
      <c r="A14" s="14">
        <f t="shared" si="1"/>
        <v>7</v>
      </c>
      <c r="B14" s="15">
        <f t="shared" si="8"/>
        <v>1.32471796535382</v>
      </c>
      <c r="C14" s="16">
        <f t="shared" si="0"/>
        <v>3.45822150915609e-8</v>
      </c>
      <c r="D14" s="16">
        <f t="shared" si="2"/>
        <v>1.00288217297351e-5</v>
      </c>
      <c r="E14" s="16">
        <f t="shared" si="3"/>
        <v>4.27688450252983e-5</v>
      </c>
      <c r="F14" s="15">
        <f t="shared" si="4"/>
        <v>1.32471795724467</v>
      </c>
      <c r="G14" s="16">
        <f t="shared" si="5"/>
        <v>8.10914735360768e-9</v>
      </c>
      <c r="H14" s="16">
        <f t="shared" si="6"/>
        <v>-3.22852855560996e-13</v>
      </c>
      <c r="I14" s="18" t="str">
        <f t="shared" si="7"/>
        <v>да</v>
      </c>
    </row>
    <row r="15" spans="1:9">
      <c r="A15" s="14">
        <f t="shared" si="1"/>
        <v>8</v>
      </c>
      <c r="B15" s="15">
        <f t="shared" si="8"/>
        <v>1.32471795724467</v>
      </c>
      <c r="C15" s="16">
        <f t="shared" si="0"/>
        <v>-3.22852855560996e-13</v>
      </c>
      <c r="D15" s="16">
        <f t="shared" si="2"/>
        <v>-8.10914735360768e-9</v>
      </c>
      <c r="E15" s="16">
        <f t="shared" si="3"/>
        <v>-3.45825379444165e-8</v>
      </c>
      <c r="F15" s="15">
        <f t="shared" si="4"/>
        <v>1.32471795724475</v>
      </c>
      <c r="G15" s="16">
        <f t="shared" si="5"/>
        <v>7.57172102794357e-14</v>
      </c>
      <c r="H15" s="16">
        <f t="shared" si="6"/>
        <v>0</v>
      </c>
      <c r="I15" s="18" t="str">
        <f t="shared" si="7"/>
        <v>да</v>
      </c>
    </row>
    <row r="16" spans="1:9">
      <c r="A16" s="14">
        <f t="shared" si="1"/>
        <v>9</v>
      </c>
      <c r="B16" s="15">
        <f t="shared" si="8"/>
        <v>1.32471795724475</v>
      </c>
      <c r="C16" s="16">
        <f t="shared" si="0"/>
        <v>0</v>
      </c>
      <c r="D16" s="16">
        <f t="shared" si="2"/>
        <v>7.57172102794357e-14</v>
      </c>
      <c r="E16" s="16">
        <f t="shared" si="3"/>
        <v>3.22852855560996e-13</v>
      </c>
      <c r="F16" s="15">
        <f t="shared" si="4"/>
        <v>1.32471795724475</v>
      </c>
      <c r="G16" s="16">
        <f t="shared" si="5"/>
        <v>0</v>
      </c>
      <c r="H16" s="16">
        <f t="shared" si="6"/>
        <v>0</v>
      </c>
      <c r="I16" s="18" t="str">
        <f t="shared" si="7"/>
        <v>да</v>
      </c>
    </row>
    <row r="19" spans="1:2">
      <c r="A19" s="1" t="s">
        <v>19</v>
      </c>
    </row>
    <row r="20" spans="1:2">
      <c r="A20" s="2" t="s">
        <v>20</v>
      </c>
      <c r="B20" s="19">
        <f>INDEX(F8:F16,MATCH("да",I8:I16,0))</f>
        <v>1.32471796535382</v>
      </c>
    </row>
    <row r="21" spans="1:2">
      <c r="A21" s="2" t="s">
        <v>21</v>
      </c>
      <c r="B21" s="20">
        <f>INDEX(A8:A16,MATCH("да",I8:I16,0))</f>
        <v>6</v>
      </c>
    </row>
    <row r="22" spans="1:2">
      <c r="A22" s="2" t="s">
        <v>22</v>
      </c>
      <c r="B22" s="21">
        <f>ABS(INDEX(H8:H16,MATCH("да",I8:I16,0)))</f>
        <v>3.45822150915609e-8</v>
      </c>
    </row>
    <row r="24" spans="1:2">
      <c r="A24" s="4"/>
    </row>
  </sheetData>
  <conditionalFormatting sqref="A8:I16">
    <cfRule type="expression" dxfId="0" priority="2">
      <formula>AND($I8="да",COUNTIF($I$7:$I7,"да")=0)</formula>
    </cfRule>
  </conditionalFormatting>
  <pageMargins left="0.75" right="0.75" top="1" bottom="1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A10" sqref="A10"/>
    </sheetView>
  </sheetViews>
  <sheetFormatPr defaultColWidth="8.67619047619048" defaultRowHeight="15" outlineLevelCol="6"/>
  <cols>
    <col min="1" max="1" width="20" customWidth="1"/>
    <col min="2" max="2" width="44" customWidth="1"/>
    <col min="3" max="3" width="18" customWidth="1"/>
    <col min="4" max="5" width="16" customWidth="1"/>
    <col min="6" max="6" width="20" customWidth="1"/>
    <col min="7" max="7" width="24" customWidth="1"/>
  </cols>
  <sheetData>
    <row r="1" spans="1:7">
      <c r="A1" s="1" t="s">
        <v>52</v>
      </c>
    </row>
    <row r="2" spans="1:7">
      <c r="A2" s="2" t="s">
        <v>53</v>
      </c>
      <c r="E2" s="3">
        <v>1.32471795724475</v>
      </c>
      <c r="F2" s="4" t="s">
        <v>54</v>
      </c>
    </row>
    <row r="4" ht="31.5" customHeight="1" spans="1:7">
      <c r="A4" s="5" t="s">
        <v>55</v>
      </c>
      <c r="B4" s="5" t="s">
        <v>56</v>
      </c>
      <c r="C4" s="5" t="s">
        <v>57</v>
      </c>
      <c r="D4" s="5" t="s">
        <v>21</v>
      </c>
      <c r="E4" s="5" t="s">
        <v>58</v>
      </c>
      <c r="F4" s="5" t="s">
        <v>22</v>
      </c>
      <c r="G4" s="5" t="s">
        <v>59</v>
      </c>
    </row>
    <row r="5" ht="33.75" customHeight="1" spans="1:7">
      <c r="A5" s="6" t="s">
        <v>60</v>
      </c>
      <c r="B5" s="7" t="s">
        <v>61</v>
      </c>
      <c r="C5" s="8" t="s">
        <v>62</v>
      </c>
      <c r="D5" s="9">
        <f>Бисекция!B29</f>
        <v>14</v>
      </c>
      <c r="E5" s="10">
        <f>Бисекция!B28</f>
        <v>1.32476806640625</v>
      </c>
      <c r="F5" s="11">
        <f>Бисекция!B30</f>
        <v>0.000213707162629362</v>
      </c>
      <c r="G5" s="12">
        <f>ABS(E5-$E$2)</f>
        <v>5.01091614999449e-5</v>
      </c>
    </row>
    <row r="6" ht="33.75" customHeight="1" spans="1:7">
      <c r="A6" s="6" t="s">
        <v>63</v>
      </c>
      <c r="B6" s="7" t="s">
        <v>64</v>
      </c>
      <c r="C6" s="8" t="s">
        <v>65</v>
      </c>
      <c r="D6" s="9">
        <f>'Простая итерация'!B23</f>
        <v>6</v>
      </c>
      <c r="E6" s="10">
        <f>'Простая итерация'!B22</f>
        <v>1.32472594522689</v>
      </c>
      <c r="F6" s="11">
        <f>'Простая итерация'!B24</f>
        <v>3.40660658151304e-5</v>
      </c>
      <c r="G6" s="12">
        <f>ABS(E6-$E$2)</f>
        <v>7.98798213708096e-6</v>
      </c>
    </row>
    <row r="7" ht="33.75" customHeight="1" spans="1:7">
      <c r="A7" s="6" t="s">
        <v>66</v>
      </c>
      <c r="B7" s="7" t="s">
        <v>67</v>
      </c>
      <c r="C7" s="8" t="s">
        <v>68</v>
      </c>
      <c r="D7" s="9">
        <f>Ньютон!B19</f>
        <v>5</v>
      </c>
      <c r="E7" s="10">
        <f>Ньютон!B18</f>
        <v>1.32471795724586</v>
      </c>
      <c r="F7" s="11">
        <f>Ньютон!B20</f>
        <v>4.74043027054449e-12</v>
      </c>
      <c r="G7" s="12">
        <f>ABS(E7-$E$2)</f>
        <v>1.10755848936606e-12</v>
      </c>
    </row>
    <row r="8" ht="33.75" customHeight="1" spans="1:7">
      <c r="A8" s="6" t="s">
        <v>69</v>
      </c>
      <c r="B8" s="7" t="s">
        <v>70</v>
      </c>
      <c r="C8" s="8" t="s">
        <v>71</v>
      </c>
      <c r="D8" s="9">
        <f>Секущие!B21</f>
        <v>6</v>
      </c>
      <c r="E8" s="10">
        <f>Секущие!B20</f>
        <v>1.32471796535382</v>
      </c>
      <c r="F8" s="11">
        <f>Секущие!B22</f>
        <v>3.45822150915609e-8</v>
      </c>
      <c r="G8" s="12">
        <f>ABS(E8-$E$2)</f>
        <v>8.10906763959451e-9</v>
      </c>
    </row>
    <row r="10" spans="1:7">
      <c r="A10" s="4"/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Бисекция</vt:lpstr>
      <vt:lpstr>Простая итерация</vt:lpstr>
      <vt:lpstr>Ньютон</vt:lpstr>
      <vt:lpstr>Секущие</vt:lpstr>
      <vt:lpstr>Сравнение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Макс</cp:lastModifiedBy>
  <cp:revision>0</cp:revision>
  <dcterms:created xsi:type="dcterms:W3CDTF">2026-09-28T18:33:00Z</dcterms:created>
  <dcterms:modified xsi:type="dcterms:W3CDTF">2026-09-28T19:06:41Z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E91F849CF67B4B8CBD70BEDBA5CA11CC_13</vt:lpwstr>
  </property>
  <property fmtid="{D5CDD505-2E9C-101B-9397-08002B2CF9AE}" pid="3" name="KSOProductBuildVer">
    <vt:lpwstr>1049-12.1.0.28485</vt:lpwstr>
  </property>
  <property fmtid="{D5CDD505-2E9C-101B-9397-08002B2CF9AE}" pid="4" name="CalculationRule">
    <vt:i4>0</vt:i4>
  </property>
</Properties>
</file>